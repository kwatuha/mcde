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M TODAY\11111__________OBARE\111111111111111111111111111111111111111111111_KIMANZI 20205\ME and Templates\"/>
    </mc:Choice>
  </mc:AlternateContent>
  <bookViews>
    <workbookView xWindow="0" yWindow="0" windowWidth="23040" windowHeight="9315"/>
  </bookViews>
  <sheets>
    <sheet name="GOK_IFMIS_Vote_Book_030326 (1)" sheetId="2" r:id="rId1"/>
  </sheets>
  <calcPr calcId="152511"/>
</workbook>
</file>

<file path=xl/calcChain.xml><?xml version="1.0" encoding="utf-8"?>
<calcChain xmlns="http://schemas.openxmlformats.org/spreadsheetml/2006/main">
  <c r="L17" i="2" l="1"/>
  <c r="F17" i="2"/>
  <c r="G17" i="2"/>
  <c r="H17" i="2"/>
  <c r="I17" i="2"/>
  <c r="J17" i="2"/>
  <c r="K17" i="2"/>
  <c r="E17" i="2"/>
</calcChain>
</file>

<file path=xl/sharedStrings.xml><?xml version="1.0" encoding="utf-8"?>
<sst xmlns="http://schemas.openxmlformats.org/spreadsheetml/2006/main" count="41" uniqueCount="33">
  <si>
    <t>Development Expenditure VOTE BOOK STATUS REPORT - FOR THE PERIOD FROM JUL-25 TO JUN-26</t>
  </si>
  <si>
    <t>Head</t>
  </si>
  <si>
    <t>Sub Head</t>
  </si>
  <si>
    <t>ITEM-SOURCE-PROGRAMME-</t>
  </si>
  <si>
    <t>GEOGRAPHICAL</t>
  </si>
  <si>
    <t>TITLE AND DETAILS</t>
  </si>
  <si>
    <t>Printed</t>
  </si>
  <si>
    <t>Estimate</t>
  </si>
  <si>
    <t>Reallocation/</t>
  </si>
  <si>
    <t>Transfer</t>
  </si>
  <si>
    <t>Supplementary Estimates</t>
  </si>
  <si>
    <t>Approved</t>
  </si>
  <si>
    <t>Estimates (Net)</t>
  </si>
  <si>
    <t>Cumulative</t>
  </si>
  <si>
    <t>Expenditure</t>
  </si>
  <si>
    <t>Outstanding</t>
  </si>
  <si>
    <t>Commitments</t>
  </si>
  <si>
    <t>Total</t>
  </si>
  <si>
    <t>Payment</t>
  </si>
  <si>
    <t>Balance</t>
  </si>
  <si>
    <t>Kes</t>
  </si>
  <si>
    <t>GROSS EXPENDITURE</t>
  </si>
  <si>
    <t>Purchase of Computers, Printers and other IT Equipment</t>
  </si>
  <si>
    <t>Purchase of Software</t>
  </si>
  <si>
    <t>Purchase of ICT Networking and Communication Equipment</t>
  </si>
  <si>
    <t>ict services</t>
  </si>
  <si>
    <t>3111002-00001001-0712013760-37600001</t>
  </si>
  <si>
    <t>3111111-00001001-0712013760-37600001</t>
  </si>
  <si>
    <t>3111112-00001001-0712013760-37600001</t>
  </si>
  <si>
    <t>3111120-00001001-0712013760-37600001</t>
  </si>
  <si>
    <t>Purch. of Specialised Plant. -</t>
  </si>
  <si>
    <t xml:space="preserve">     </t>
  </si>
  <si>
    <t xml:space="preserve">VOTE D3787 VIHIGA-FINANCE ECONOMIC PLANNING AND REVENUE MANAGEMENT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</si>
</sst>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40404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0" fontId="0" fillId="33" borderId="0" xfId="0" applyFill="1" applyAlignment="1">
      <alignment vertical="top" wrapText="1"/>
    </xf>
    <xf numFmtId="0" fontId="18" fillId="0" borderId="0" xfId="0" applyFont="1" applyAlignment="1">
      <alignment horizontal="left" indent="3"/>
    </xf>
    <xf numFmtId="0" fontId="0" fillId="33" borderId="10" xfId="0" applyFill="1" applyBorder="1" applyAlignment="1">
      <alignment vertical="top" wrapText="1"/>
    </xf>
    <xf numFmtId="0" fontId="22" fillId="33" borderId="14" xfId="0" applyFont="1" applyFill="1" applyBorder="1" applyAlignment="1">
      <alignment vertical="top" wrapText="1"/>
    </xf>
    <xf numFmtId="0" fontId="22" fillId="33" borderId="15" xfId="0" applyFont="1" applyFill="1" applyBorder="1" applyAlignment="1">
      <alignment horizontal="center" vertical="top" wrapText="1"/>
    </xf>
    <xf numFmtId="0" fontId="0" fillId="33" borderId="16" xfId="0" applyFill="1" applyBorder="1" applyAlignment="1">
      <alignment vertical="top" wrapText="1"/>
    </xf>
    <xf numFmtId="0" fontId="24" fillId="33" borderId="14" xfId="0" applyFont="1" applyFill="1" applyBorder="1" applyAlignment="1">
      <alignment horizontal="center" vertical="top" wrapText="1"/>
    </xf>
    <xf numFmtId="0" fontId="24" fillId="33" borderId="15" xfId="0" applyFont="1" applyFill="1" applyBorder="1" applyAlignment="1">
      <alignment horizontal="center" vertical="top" wrapText="1"/>
    </xf>
    <xf numFmtId="0" fontId="24" fillId="33" borderId="16" xfId="0" applyFont="1" applyFill="1" applyBorder="1" applyAlignment="1">
      <alignment horizontal="center" vertical="top" wrapText="1"/>
    </xf>
    <xf numFmtId="0" fontId="23" fillId="33" borderId="10" xfId="0" applyFont="1" applyFill="1" applyBorder="1" applyAlignment="1">
      <alignment horizontal="center" vertical="top" wrapText="1"/>
    </xf>
    <xf numFmtId="0" fontId="24" fillId="33" borderId="10" xfId="0" applyFont="1" applyFill="1" applyBorder="1" applyAlignment="1">
      <alignment vertical="top" wrapText="1"/>
    </xf>
    <xf numFmtId="0" fontId="23" fillId="33" borderId="10" xfId="0" applyFont="1" applyFill="1" applyBorder="1" applyAlignment="1">
      <alignment vertical="top" wrapText="1"/>
    </xf>
    <xf numFmtId="3" fontId="23" fillId="33" borderId="10" xfId="0" applyNumberFormat="1" applyFont="1" applyFill="1" applyBorder="1" applyAlignment="1">
      <alignment horizontal="right" vertical="top" wrapText="1"/>
    </xf>
    <xf numFmtId="0" fontId="23" fillId="33" borderId="10" xfId="0" applyFont="1" applyFill="1" applyBorder="1" applyAlignment="1">
      <alignment horizontal="righ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3" fillId="33" borderId="11" xfId="0" applyFont="1" applyFill="1" applyBorder="1" applyAlignment="1">
      <alignment horizontal="right" vertical="top" wrapText="1"/>
    </xf>
    <xf numFmtId="0" fontId="23" fillId="33" borderId="12" xfId="0" applyFont="1" applyFill="1" applyBorder="1" applyAlignment="1">
      <alignment horizontal="right" vertical="top" wrapText="1"/>
    </xf>
    <xf numFmtId="0" fontId="23" fillId="33" borderId="13" xfId="0" applyFont="1" applyFill="1" applyBorder="1" applyAlignment="1">
      <alignment horizontal="right" vertical="top" wrapText="1"/>
    </xf>
    <xf numFmtId="0" fontId="24" fillId="33" borderId="11" xfId="0" applyFont="1" applyFill="1" applyBorder="1" applyAlignment="1">
      <alignment horizontal="right" vertical="top" wrapText="1"/>
    </xf>
    <xf numFmtId="0" fontId="24" fillId="33" borderId="12" xfId="0" applyFont="1" applyFill="1" applyBorder="1" applyAlignment="1">
      <alignment horizontal="right" vertical="top" wrapText="1"/>
    </xf>
    <xf numFmtId="0" fontId="24" fillId="33" borderId="13" xfId="0" applyFont="1" applyFill="1" applyBorder="1" applyAlignment="1">
      <alignment horizontal="right" vertical="top" wrapText="1"/>
    </xf>
    <xf numFmtId="0" fontId="0" fillId="33" borderId="11" xfId="0" applyFill="1" applyBorder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3" borderId="13" xfId="0" applyFill="1" applyBorder="1" applyAlignment="1">
      <alignment vertical="top" wrapText="1"/>
    </xf>
    <xf numFmtId="0" fontId="19" fillId="33" borderId="11" xfId="0" applyFont="1" applyFill="1" applyBorder="1" applyAlignment="1">
      <alignment horizontal="center" vertical="top" wrapText="1"/>
    </xf>
    <xf numFmtId="0" fontId="19" fillId="33" borderId="12" xfId="0" applyFont="1" applyFill="1" applyBorder="1" applyAlignment="1">
      <alignment horizontal="center" vertical="top" wrapText="1"/>
    </xf>
    <xf numFmtId="0" fontId="19" fillId="33" borderId="13" xfId="0" applyFont="1" applyFill="1" applyBorder="1" applyAlignment="1">
      <alignment horizontal="center" vertical="top" wrapText="1"/>
    </xf>
    <xf numFmtId="0" fontId="20" fillId="33" borderId="11" xfId="0" applyFont="1" applyFill="1" applyBorder="1" applyAlignment="1">
      <alignment horizontal="center" vertical="top" wrapText="1"/>
    </xf>
    <xf numFmtId="0" fontId="20" fillId="33" borderId="12" xfId="0" applyFont="1" applyFill="1" applyBorder="1" applyAlignment="1">
      <alignment horizontal="center" vertical="top" wrapText="1"/>
    </xf>
    <xf numFmtId="0" fontId="20" fillId="33" borderId="13" xfId="0" applyFont="1" applyFill="1" applyBorder="1" applyAlignment="1">
      <alignment horizontal="center" vertical="top" wrapText="1"/>
    </xf>
    <xf numFmtId="0" fontId="21" fillId="33" borderId="14" xfId="0" applyFont="1" applyFill="1" applyBorder="1" applyAlignment="1">
      <alignment horizontal="center" vertical="top" wrapText="1"/>
    </xf>
    <xf numFmtId="0" fontId="21" fillId="33" borderId="15" xfId="0" applyFont="1" applyFill="1" applyBorder="1" applyAlignment="1">
      <alignment horizontal="center" vertical="top" wrapText="1"/>
    </xf>
    <xf numFmtId="0" fontId="21" fillId="33" borderId="16" xfId="0" applyFont="1" applyFill="1" applyBorder="1" applyAlignment="1">
      <alignment horizontal="center" vertical="top" wrapText="1"/>
    </xf>
    <xf numFmtId="0" fontId="24" fillId="33" borderId="14" xfId="0" applyFont="1" applyFill="1" applyBorder="1" applyAlignment="1">
      <alignment horizontal="center" vertical="top" wrapText="1"/>
    </xf>
    <xf numFmtId="0" fontId="24" fillId="33" borderId="15" xfId="0" applyFont="1" applyFill="1" applyBorder="1" applyAlignment="1">
      <alignment horizontal="center" vertical="top" wrapText="1"/>
    </xf>
    <xf numFmtId="0" fontId="24" fillId="33" borderId="16" xfId="0" applyFont="1" applyFill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showGridLines="0" tabSelected="1" topLeftCell="A2" workbookViewId="0">
      <selection activeCell="A18" sqref="A18:XFD19"/>
    </sheetView>
  </sheetViews>
  <sheetFormatPr defaultRowHeight="15" x14ac:dyDescent="0.25"/>
  <cols>
    <col min="1" max="1" width="11.7109375" bestFit="1" customWidth="1"/>
    <col min="2" max="2" width="8.5703125" customWidth="1"/>
    <col min="3" max="3" width="23.5703125" bestFit="1" customWidth="1"/>
    <col min="4" max="4" width="35.42578125" bestFit="1" customWidth="1"/>
    <col min="5" max="5" width="8.5703125" customWidth="1"/>
    <col min="6" max="6" width="9.5703125" bestFit="1" customWidth="1"/>
    <col min="7" max="7" width="18.42578125" bestFit="1" customWidth="1"/>
    <col min="8" max="8" width="11.140625" bestFit="1" customWidth="1"/>
    <col min="9" max="9" width="9" bestFit="1" customWidth="1"/>
    <col min="10" max="11" width="10.42578125" bestFit="1" customWidth="1"/>
    <col min="12" max="12" width="8.5703125" customWidth="1"/>
  </cols>
  <sheetData>
    <row r="1" spans="1:12" ht="31.5" customHeight="1" x14ac:dyDescent="0.25">
      <c r="A1" s="1"/>
    </row>
    <row r="3" spans="1:12" x14ac:dyDescent="0.25">
      <c r="A3" s="2"/>
    </row>
    <row r="5" spans="1:12" ht="14.45" customHeight="1" x14ac:dyDescent="0.25">
      <c r="A5" s="26" t="s">
        <v>32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</row>
    <row r="6" spans="1:12" ht="36.75" customHeight="1" x14ac:dyDescent="0.25">
      <c r="A6" s="29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1"/>
    </row>
    <row r="7" spans="1:12" ht="14.45" customHeight="1" x14ac:dyDescent="0.25">
      <c r="A7" s="32" t="s">
        <v>1</v>
      </c>
      <c r="B7" s="32" t="s">
        <v>2</v>
      </c>
      <c r="C7" s="4" t="s">
        <v>3</v>
      </c>
      <c r="D7" s="35" t="s">
        <v>5</v>
      </c>
      <c r="E7" s="7" t="s">
        <v>6</v>
      </c>
      <c r="F7" s="7" t="s">
        <v>8</v>
      </c>
      <c r="G7" s="35" t="s">
        <v>10</v>
      </c>
      <c r="H7" s="7" t="s">
        <v>11</v>
      </c>
      <c r="I7" s="7" t="s">
        <v>13</v>
      </c>
      <c r="J7" s="7" t="s">
        <v>15</v>
      </c>
      <c r="K7" s="7" t="s">
        <v>17</v>
      </c>
      <c r="L7" s="35" t="s">
        <v>19</v>
      </c>
    </row>
    <row r="8" spans="1:12" ht="14.45" customHeight="1" x14ac:dyDescent="0.25">
      <c r="A8" s="33"/>
      <c r="B8" s="33"/>
      <c r="C8" s="5" t="s">
        <v>4</v>
      </c>
      <c r="D8" s="36"/>
      <c r="E8" s="8" t="s">
        <v>7</v>
      </c>
      <c r="F8" s="8" t="s">
        <v>9</v>
      </c>
      <c r="G8" s="36"/>
      <c r="H8" s="8" t="s">
        <v>12</v>
      </c>
      <c r="I8" s="8" t="s">
        <v>14</v>
      </c>
      <c r="J8" s="8" t="s">
        <v>16</v>
      </c>
      <c r="K8" s="8" t="s">
        <v>18</v>
      </c>
      <c r="L8" s="36"/>
    </row>
    <row r="9" spans="1:12" ht="14.45" customHeight="1" x14ac:dyDescent="0.25">
      <c r="A9" s="34"/>
      <c r="B9" s="34"/>
      <c r="C9" s="6"/>
      <c r="D9" s="37"/>
      <c r="E9" s="6"/>
      <c r="F9" s="6"/>
      <c r="G9" s="37"/>
      <c r="H9" s="6"/>
      <c r="I9" s="6"/>
      <c r="J9" s="6"/>
      <c r="K9" s="9" t="s">
        <v>16</v>
      </c>
      <c r="L9" s="37"/>
    </row>
    <row r="10" spans="1:12" ht="10.5" customHeight="1" x14ac:dyDescent="0.25">
      <c r="A10" s="23"/>
      <c r="B10" s="24"/>
      <c r="C10" s="24"/>
      <c r="D10" s="25"/>
      <c r="E10" s="10" t="s">
        <v>20</v>
      </c>
      <c r="F10" s="10" t="s">
        <v>20</v>
      </c>
      <c r="G10" s="10" t="s">
        <v>20</v>
      </c>
      <c r="H10" s="10" t="s">
        <v>20</v>
      </c>
      <c r="I10" s="10" t="s">
        <v>20</v>
      </c>
      <c r="J10" s="10" t="s">
        <v>20</v>
      </c>
      <c r="K10" s="10" t="s">
        <v>20</v>
      </c>
      <c r="L10" s="10" t="s">
        <v>20</v>
      </c>
    </row>
    <row r="11" spans="1:12" ht="9.75" customHeight="1" x14ac:dyDescent="0.25">
      <c r="A11" s="11">
        <v>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9.75" customHeight="1" x14ac:dyDescent="0.25">
      <c r="A12" s="20">
        <v>1</v>
      </c>
      <c r="B12" s="22"/>
      <c r="C12" s="3"/>
      <c r="D12" s="11" t="s">
        <v>25</v>
      </c>
      <c r="E12" s="3"/>
      <c r="F12" s="3"/>
      <c r="G12" s="3"/>
      <c r="H12" s="3"/>
      <c r="I12" s="3"/>
      <c r="J12" s="3"/>
      <c r="K12" s="3"/>
      <c r="L12" s="3"/>
    </row>
    <row r="13" spans="1:12" ht="15.2" customHeight="1" x14ac:dyDescent="0.25">
      <c r="A13" s="17" t="s">
        <v>26</v>
      </c>
      <c r="B13" s="18"/>
      <c r="C13" s="19"/>
      <c r="D13" s="12" t="s">
        <v>22</v>
      </c>
      <c r="E13" s="13">
        <v>5000</v>
      </c>
      <c r="F13" s="14">
        <v>0</v>
      </c>
      <c r="G13" s="14">
        <v>0</v>
      </c>
      <c r="H13" s="13">
        <v>5000</v>
      </c>
      <c r="I13" s="13">
        <v>2000</v>
      </c>
      <c r="J13" s="14">
        <v>0</v>
      </c>
      <c r="K13" s="13">
        <v>2000</v>
      </c>
      <c r="L13" s="13">
        <v>3000</v>
      </c>
    </row>
    <row r="14" spans="1:12" ht="15.2" customHeight="1" x14ac:dyDescent="0.25">
      <c r="A14" s="17" t="s">
        <v>27</v>
      </c>
      <c r="B14" s="18"/>
      <c r="C14" s="19"/>
      <c r="D14" s="12" t="s">
        <v>24</v>
      </c>
      <c r="E14" s="13">
        <v>6000</v>
      </c>
      <c r="F14" s="14">
        <v>0</v>
      </c>
      <c r="G14" s="14">
        <v>0</v>
      </c>
      <c r="H14" s="13">
        <v>6000</v>
      </c>
      <c r="I14" s="14">
        <v>0</v>
      </c>
      <c r="J14" s="14">
        <v>0</v>
      </c>
      <c r="K14" s="14">
        <v>0</v>
      </c>
      <c r="L14" s="13">
        <v>6000</v>
      </c>
    </row>
    <row r="15" spans="1:12" ht="15.2" customHeight="1" x14ac:dyDescent="0.25">
      <c r="A15" s="17" t="s">
        <v>28</v>
      </c>
      <c r="B15" s="18"/>
      <c r="C15" s="19"/>
      <c r="D15" s="12" t="s">
        <v>23</v>
      </c>
      <c r="E15" s="13">
        <v>8000</v>
      </c>
      <c r="F15" s="13">
        <v>6000</v>
      </c>
      <c r="G15" s="14">
        <v>0</v>
      </c>
      <c r="H15" s="13">
        <v>2000</v>
      </c>
      <c r="I15" s="13">
        <v>2000</v>
      </c>
      <c r="J15" s="14">
        <v>0</v>
      </c>
      <c r="K15" s="13">
        <v>2000</v>
      </c>
      <c r="L15" s="14">
        <v>0</v>
      </c>
    </row>
    <row r="16" spans="1:12" ht="15.2" customHeight="1" x14ac:dyDescent="0.25">
      <c r="A16" s="17" t="s">
        <v>29</v>
      </c>
      <c r="B16" s="18"/>
      <c r="C16" s="19"/>
      <c r="D16" s="12" t="s">
        <v>30</v>
      </c>
      <c r="E16" s="13">
        <v>0</v>
      </c>
      <c r="F16" s="13">
        <v>0</v>
      </c>
      <c r="G16" s="14">
        <v>0</v>
      </c>
      <c r="H16" s="13">
        <v>0</v>
      </c>
      <c r="I16" s="14">
        <v>0</v>
      </c>
      <c r="J16" s="14">
        <v>0</v>
      </c>
      <c r="K16" s="14">
        <v>0</v>
      </c>
      <c r="L16" s="13">
        <v>0</v>
      </c>
    </row>
    <row r="17" spans="1:12" ht="23.65" customHeight="1" x14ac:dyDescent="0.25">
      <c r="A17" s="20" t="s">
        <v>21</v>
      </c>
      <c r="B17" s="21"/>
      <c r="C17" s="21"/>
      <c r="D17" s="22"/>
      <c r="E17" s="15">
        <f>SUM(E13:E16)</f>
        <v>19000</v>
      </c>
      <c r="F17" s="15">
        <f t="shared" ref="F17:K17" si="0">SUM(F13:F16)</f>
        <v>6000</v>
      </c>
      <c r="G17" s="15">
        <f t="shared" si="0"/>
        <v>0</v>
      </c>
      <c r="H17" s="15">
        <f t="shared" si="0"/>
        <v>13000</v>
      </c>
      <c r="I17" s="15">
        <f t="shared" si="0"/>
        <v>4000</v>
      </c>
      <c r="J17" s="15">
        <f t="shared" si="0"/>
        <v>0</v>
      </c>
      <c r="K17" s="15">
        <f t="shared" si="0"/>
        <v>4000</v>
      </c>
      <c r="L17" s="15">
        <f>SUM(L13:L16)</f>
        <v>9000</v>
      </c>
    </row>
    <row r="18" spans="1:12" x14ac:dyDescent="0.25">
      <c r="A18" s="16" t="s">
        <v>31</v>
      </c>
    </row>
  </sheetData>
  <mergeCells count="14">
    <mergeCell ref="A12:B12"/>
    <mergeCell ref="A13:C13"/>
    <mergeCell ref="A14:C14"/>
    <mergeCell ref="A10:D10"/>
    <mergeCell ref="A5:L5"/>
    <mergeCell ref="A6:L6"/>
    <mergeCell ref="A7:A9"/>
    <mergeCell ref="B7:B9"/>
    <mergeCell ref="D7:D9"/>
    <mergeCell ref="G7:G9"/>
    <mergeCell ref="L7:L9"/>
    <mergeCell ref="A15:C15"/>
    <mergeCell ref="A16:C16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GOK_IFMIS_Vote_Book_030326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LUCE WANZA</dc:creator>
  <cp:lastModifiedBy>Admin</cp:lastModifiedBy>
  <dcterms:created xsi:type="dcterms:W3CDTF">2026-03-03T16:05:39Z</dcterms:created>
  <dcterms:modified xsi:type="dcterms:W3CDTF">2026-05-08T07:00:11Z</dcterms:modified>
</cp:coreProperties>
</file>